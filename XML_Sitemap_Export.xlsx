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mit Pandey\Downloads\"/>
    </mc:Choice>
  </mc:AlternateContent>
  <xr:revisionPtr revIDLastSave="0" documentId="13_ncr:1_{2CEA2E8F-B5A3-4325-A00F-7C3EB3F4FDCC}" xr6:coauthVersionLast="47" xr6:coauthVersionMax="47" xr10:uidLastSave="{00000000-0000-0000-0000-000000000000}"/>
  <bookViews>
    <workbookView xWindow="-120" yWindow="-120" windowWidth="20730" windowHeight="11040" xr2:uid="{AA9E8329-4ED2-4874-BBD6-258E801A5DFD}"/>
  </bookViews>
  <sheets>
    <sheet name="Pages" sheetId="1" r:id="rId1"/>
    <sheet name="Summa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W2" i="2" l="1" a="1"/>
  <c r="B4" i="2" s="1"/>
  <c r="X2" i="2" l="1" a="1"/>
  <c r="W2" i="2"/>
  <c r="E4" i="2" s="1"/>
  <c r="H4" i="2" s="1"/>
  <c r="X2" i="2" l="1"/>
  <c r="B10" i="2" s="1"/>
  <c r="C10" i="2" s="1"/>
  <c r="B38" i="2"/>
  <c r="C38" i="2" s="1"/>
  <c r="B30" i="2"/>
  <c r="C30" i="2" s="1"/>
  <c r="B16" i="2" l="1"/>
  <c r="C16" i="2" s="1"/>
  <c r="B32" i="2"/>
  <c r="C32" i="2" s="1"/>
  <c r="B18" i="2"/>
  <c r="C18" i="2" s="1"/>
  <c r="B26" i="2"/>
  <c r="C26" i="2" s="1"/>
  <c r="B34" i="2"/>
  <c r="C34" i="2" s="1"/>
  <c r="B17" i="2"/>
  <c r="C17" i="2" s="1"/>
  <c r="B25" i="2"/>
  <c r="C25" i="2" s="1"/>
  <c r="B19" i="2"/>
  <c r="C19" i="2" s="1"/>
  <c r="B21" i="2"/>
  <c r="C21" i="2" s="1"/>
  <c r="B22" i="2"/>
  <c r="C22" i="2" s="1"/>
  <c r="B37" i="2"/>
  <c r="C37" i="2" s="1"/>
  <c r="B14" i="2"/>
  <c r="C14" i="2" s="1"/>
  <c r="B12" i="2"/>
  <c r="C12" i="2" s="1"/>
  <c r="B28" i="2"/>
  <c r="C28" i="2" s="1"/>
  <c r="B20" i="2"/>
  <c r="C20" i="2" s="1"/>
  <c r="B15" i="2"/>
  <c r="C15" i="2" s="1"/>
  <c r="B33" i="2"/>
  <c r="C33" i="2" s="1"/>
  <c r="B8" i="2"/>
  <c r="C8" i="2" s="1"/>
  <c r="B7" i="2"/>
  <c r="B36" i="2"/>
  <c r="C36" i="2" s="1"/>
  <c r="B23" i="2"/>
  <c r="C23" i="2" s="1"/>
  <c r="B11" i="2"/>
  <c r="C11" i="2" s="1"/>
  <c r="B24" i="2"/>
  <c r="C24" i="2" s="1"/>
  <c r="B13" i="2"/>
  <c r="C13" i="2" s="1"/>
  <c r="B31" i="2"/>
  <c r="C31" i="2" s="1"/>
  <c r="B27" i="2"/>
  <c r="C27" i="2" s="1"/>
  <c r="B9" i="2"/>
  <c r="C9" i="2" s="1"/>
  <c r="B29" i="2"/>
  <c r="C29" i="2" s="1"/>
  <c r="B39" i="2"/>
  <c r="B35" i="2"/>
  <c r="C35" i="2" s="1"/>
  <c r="C39" i="2" l="1"/>
  <c r="N4" i="2"/>
  <c r="K4" i="2"/>
  <c r="C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<sst xmlns="http://schemas.openxmlformats.org/spreadsheetml/2006/main" count="46" uniqueCount="46">
  <si>
    <t>All Pages</t>
  </si>
  <si>
    <t>Page Type</t>
  </si>
  <si>
    <t>Homepage</t>
  </si>
  <si>
    <t>Other</t>
  </si>
  <si>
    <t>Website Page Types Summary</t>
  </si>
  <si>
    <t>Automatically groups URLs from the Pages sheet into common website page types.</t>
  </si>
  <si>
    <t>Total Pages</t>
  </si>
  <si>
    <t>Page Types Found</t>
  </si>
  <si>
    <t>Pages</t>
  </si>
  <si>
    <t>Share</t>
  </si>
  <si>
    <t>Product Pages</t>
  </si>
  <si>
    <t>Service Pages</t>
  </si>
  <si>
    <t>Software / SaaS</t>
  </si>
  <si>
    <t>Feature Pages</t>
  </si>
  <si>
    <t>Solution Pages</t>
  </si>
  <si>
    <t>Industry Pages</t>
  </si>
  <si>
    <t>Landing / Campaign Pages</t>
  </si>
  <si>
    <t>Category / Listing Pages</t>
  </si>
  <si>
    <t>Pricing / Plans</t>
  </si>
  <si>
    <t>Course / Program Pages</t>
  </si>
  <si>
    <t>Location Pages</t>
  </si>
  <si>
    <t>About / Company</t>
  </si>
  <si>
    <t>Team / Leadership</t>
  </si>
  <si>
    <t>Contact Pages</t>
  </si>
  <si>
    <t>Careers / Jobs</t>
  </si>
  <si>
    <t>Customer Stories / Case Studies</t>
  </si>
  <si>
    <t>Testimonials / Reviews</t>
  </si>
  <si>
    <t>Resources / Library</t>
  </si>
  <si>
    <t>Blog / Articles</t>
  </si>
  <si>
    <t>News / Press / Media</t>
  </si>
  <si>
    <t>Events / Webinars</t>
  </si>
  <si>
    <t>Guides / eBooks / Whitepapers</t>
  </si>
  <si>
    <t>Documentation / Help Center</t>
  </si>
  <si>
    <t>FAQ Pages</t>
  </si>
  <si>
    <t>Downloads / Brochures</t>
  </si>
  <si>
    <t>Admissions / Enrollment</t>
  </si>
  <si>
    <t>Placements / Results</t>
  </si>
  <si>
    <t>Partners / Associations</t>
  </si>
  <si>
    <t>Legal / Policies</t>
  </si>
  <si>
    <t>Login / Account</t>
  </si>
  <si>
    <t>Search / Archive / Tags</t>
  </si>
  <si>
    <t>URL Helper</t>
  </si>
  <si>
    <t>Page Type Helper</t>
  </si>
  <si>
    <t>Unique Pages</t>
  </si>
  <si>
    <t>Duplicate URLs</t>
  </si>
  <si>
    <t>Classification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</si>
</sst>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FFFFFF"/>
      <name val="Aptos"/>
      <family val="2"/>
    </font>
    <font>
      <i/>
      <sz val="10"/>
      <color rgb="FF5B6573"/>
      <name val="Aptos"/>
      <family val="2"/>
    </font>
    <font>
      <b/>
      <sz val="12"/>
      <color rgb="FF174A7E"/>
      <name val="Aptos"/>
      <family val="2"/>
    </font>
    <font>
      <b/>
      <i/>
      <sz val="11"/>
      <color rgb="FF5B6573"/>
      <name val="Aptos"/>
      <family val="2"/>
    </font>
    <font>
      <b/>
      <sz val="12"/>
      <color rgb="FFFFFFFF"/>
      <name val="Aptos"/>
      <family val="2"/>
    </font>
    <font>
      <sz val="12"/>
      <color rgb="FF222222"/>
      <name val="Aptos"/>
      <family val="2"/>
    </font>
    <font>
      <b/>
      <sz val="12"/>
      <color rgb="FF222222"/>
      <name val="Aptos"/>
      <family val="2"/>
    </font>
    <font>
      <sz val="12"/>
      <color rgb="FF5B6573"/>
      <name val="Aptos"/>
      <family val="2"/>
    </font>
    <font>
      <u/>
      <sz val="11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rgb="FF17365D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/>
      <top style="medium">
        <color rgb="FF2F5597"/>
      </top>
      <bottom/>
      <diagonal/>
    </border>
    <border>
      <left/>
      <right/>
      <top/>
      <bottom style="thin">
        <color rgb="FFE7E6E6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left"/>
    </xf>
    <xf numFmtId="0" fontId="3" fillId="6" borderId="0" xfId="0" applyFont="1" applyFill="1" applyAlignment="1">
      <alignment horizontal="left"/>
    </xf>
    <xf numFmtId="0" fontId="0" fillId="0" borderId="0" xfId="0" applyAlignment="1">
      <alignment horizontal="left" vertical="center"/>
    </xf>
    <xf numFmtId="0" fontId="5" fillId="6" borderId="0" xfId="0" applyFont="1" applyFill="1" applyAlignment="1">
      <alignment horizontal="left"/>
    </xf>
    <xf numFmtId="0" fontId="6" fillId="5" borderId="0" xfId="0" applyFont="1" applyFill="1" applyAlignment="1">
      <alignment horizontal="left" vertical="center"/>
    </xf>
    <xf numFmtId="0" fontId="6" fillId="5" borderId="0" xfId="0" applyFont="1" applyFill="1" applyAlignment="1">
      <alignment horizontal="center" vertical="center"/>
    </xf>
    <xf numFmtId="0" fontId="7" fillId="6" borderId="5" xfId="0" applyFont="1" applyFill="1" applyBorder="1" applyAlignment="1">
      <alignment horizontal="left"/>
    </xf>
    <xf numFmtId="1" fontId="8" fillId="6" borderId="5" xfId="0" applyNumberFormat="1" applyFont="1" applyFill="1" applyBorder="1" applyAlignment="1">
      <alignment horizontal="center" vertical="center"/>
    </xf>
    <xf numFmtId="164" fontId="9" fillId="6" borderId="5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left"/>
    </xf>
    <xf numFmtId="1" fontId="8" fillId="6" borderId="0" xfId="0" applyNumberFormat="1" applyFont="1" applyFill="1" applyAlignment="1">
      <alignment horizontal="center" vertical="center"/>
    </xf>
    <xf numFmtId="164" fontId="9" fillId="6" borderId="0" xfId="0" applyNumberFormat="1" applyFont="1" applyFill="1" applyAlignment="1">
      <alignment horizontal="center" vertical="center"/>
    </xf>
    <xf numFmtId="0" fontId="7" fillId="6" borderId="6" xfId="0" applyFont="1" applyFill="1" applyBorder="1" applyAlignment="1">
      <alignment horizontal="left"/>
    </xf>
    <xf numFmtId="1" fontId="8" fillId="6" borderId="6" xfId="0" applyNumberFormat="1" applyFont="1" applyFill="1" applyBorder="1" applyAlignment="1">
      <alignment horizontal="center" vertical="center"/>
    </xf>
    <xf numFmtId="164" fontId="9" fillId="6" borderId="6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1" fontId="4" fillId="4" borderId="4" xfId="0" applyNumberFormat="1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1" fontId="4" fillId="4" borderId="2" xfId="0" applyNumberFormat="1" applyFont="1" applyFill="1" applyBorder="1" applyAlignment="1">
      <alignment horizontal="left" vertical="center"/>
    </xf>
    <xf numFmtId="164" fontId="4" fillId="4" borderId="4" xfId="0" applyNumberFormat="1" applyFont="1" applyFill="1" applyBorder="1" applyAlignment="1">
      <alignment horizontal="left" vertical="center"/>
    </xf>
    <xf numFmtId="0" fontId="10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DC931B3-EBF3-4DA1-B94E-A900987AE82D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a6d1c8d-e759-46da-af3e-611ff8be6ce1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A7569-9BB7-4846-BDB1-F851BDEF85E3}">
  <dimension ref="A1:A61"/>
  <sheetViews>
    <sheetView tabSelected="1" workbookViewId="0">
      <selection activeCell="D7" sqref="D7"/>
    </sheetView>
  </sheetViews>
  <sheetFormatPr defaultRowHeight="15" x14ac:dyDescent="0.25"/>
  <cols>
    <col min="1" max="1" width="59.140625" customWidth="1"/>
  </cols>
  <sheetData>
    <row r="1" spans="1:1" x14ac:dyDescent="0.25">
      <c r="A1" s="1" t="s">
        <v>0</v>
      </c>
    </row>
    <row r="59" spans="1:1" x14ac:dyDescent="0.25">
      <c r="A59" s="22"/>
    </row>
    <row r="60" spans="1:1" x14ac:dyDescent="0.25">
      <c r="A60" s="22"/>
    </row>
    <row r="61" spans="1:1" x14ac:dyDescent="0.25">
      <c r="A61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AD18E-06FF-4490-9E15-873E7F62E242}">
  <dimension ref="A1:X39"/>
  <sheetViews>
    <sheetView showGridLines="0" workbookViewId="0">
      <selection activeCell="A17" sqref="A17"/>
    </sheetView>
  </sheetViews>
  <sheetFormatPr defaultRowHeight="15" x14ac:dyDescent="0.25"/>
  <cols>
    <col min="1" max="1" width="69.28515625" bestFit="1" customWidth="1"/>
    <col min="2" max="2" width="7.140625" bestFit="1" customWidth="1"/>
    <col min="3" max="3" width="7.7109375" bestFit="1" customWidth="1"/>
    <col min="4" max="4" width="14.42578125" bestFit="1" customWidth="1"/>
    <col min="5" max="5" width="11.28515625" customWidth="1"/>
    <col min="6" max="6" width="22.85546875" customWidth="1"/>
    <col min="7" max="7" width="16.140625" bestFit="1" customWidth="1"/>
    <col min="8" max="8" width="2.5703125" bestFit="1" customWidth="1"/>
    <col min="9" max="9" width="28.5703125" customWidth="1"/>
    <col min="10" max="10" width="18.85546875" bestFit="1" customWidth="1"/>
    <col min="11" max="11" width="3.85546875" bestFit="1" customWidth="1"/>
    <col min="12" max="12" width="27.5703125" customWidth="1"/>
    <col min="13" max="13" width="24.7109375" bestFit="1" customWidth="1"/>
    <col min="14" max="14" width="13.85546875" bestFit="1" customWidth="1"/>
    <col min="15" max="15" width="31.42578125" customWidth="1"/>
    <col min="16" max="16" width="12.42578125" customWidth="1"/>
    <col min="23" max="23" width="0" hidden="1" customWidth="1"/>
  </cols>
  <sheetData>
    <row r="1" spans="1:24" ht="21.75" thickBot="1" x14ac:dyDescent="0.4">
      <c r="A1" s="2" t="s">
        <v>4</v>
      </c>
      <c r="B1" s="2"/>
      <c r="C1" s="2"/>
      <c r="D1" s="2"/>
      <c r="E1" s="2"/>
      <c r="W1" t="s">
        <v>41</v>
      </c>
      <c r="X1" t="s">
        <v>42</v>
      </c>
    </row>
    <row r="2" spans="1:24" ht="15.75" thickTop="1" x14ac:dyDescent="0.25">
      <c r="A2" s="5" t="s">
        <v>5</v>
      </c>
      <c r="B2" s="3"/>
      <c r="C2" s="3"/>
      <c r="D2" s="3"/>
      <c r="E2" s="3"/>
      <c r="W2" t="str" cm="1">
        <f t="array" ref="W2">_xlfn._xlws.FILTER(Pages!A2:A1000,Pages!A2:A1000&lt;&gt;"","")</f>
        <v/>
      </c>
      <c r="X2" t="str" cm="1">
        <f t="array" ref="X2">_xlfn.MAP(_xlfn.ANCHORARRAY(W2),_xlfn.LAMBDA(_xlpm.u,_xlfn.LET(_xlpm.p,LOWER(IFERROR("/"&amp;_xlfn.TEXTAFTER(_xlfn.TEXTAFTER(_xlpm.u,"//"),"/"),"/")),_xlfn.IFS(_xlpm.p="/","Homepage",OR(ISNUMBER(SEARCH("/pricing",_xlpm.p)),ISNUMBER(SEARCH("/plans",_xlpm.p))),"Pricing / Plans",OR(ISNUMBER(SEARCH("case-stud",_xlpm.p)),ISNUMBER(SEARCH("customer-stor",_xlpm.p)),ISNUMBER(SEARCH("success-stor",_xlpm.p))),"Customer Stories / Case Studies",OR(ISNUMBER(SEARCH("testimonial",_xlpm.p)),ISNUMBER(SEARCH("review",_xlpm.p))),"Testimonials / Reviews",OR(ISNUMBER(SEARCH("/contact",_xlpm.p)),ISNUMBER(SEARCH("contact-us",_xlpm.p))),"Contact Pages",OR(ISNUMBER(SEARCH("career",_xlpm.p)),ISNUMBER(SEARCH("/jobs",_xlpm.p)),ISNUMBER(SEARCH("vacanc",_xlpm.p))),"Careers / Jobs",OR(ISNUMBER(SEARCH("privacy",_xlpm.p)),ISNUMBER(SEARCH("terms",_xlpm.p)),ISNUMBER(SEARCH("refund-policy",_xlpm.p)),ISNUMBER(SEARCH("cookie",_xlpm.p)),ISNUMBER(SEARCH("legal",_xlpm.p)),ISNUMBER(SEARCH("disclaimer",_xlpm.p))),"Legal / Policies",OR(ISNUMBER(SEARCH("admission",_xlpm.p)),ISNUMBER(SEARCH("enroll",_xlpm.p)),ISNUMBER(SEARCH("apply-now",_xlpm.p)),ISNUMBER(SEARCH("application",_xlpm.p)),ISNUMBER(SEARCH("upcoming-batch",_xlpm.p)),ISNUMBER(SEARCH("scholarship",_xlpm.p))),"Admissions / Enrollment",OR(ISNUMBER(SEARCH("placement",_xlpm.p)),ISNUMBER(SEARCH("results",_xlpm.p)),ISNUMBER(SEARCH("outcomes",_xlpm.p))),"Placements / Results",OR(ISNUMBER(SEARCH("leadership",_xlpm.p)),ISNUMBER(SEARCH("/team",_xlpm.p)),ISNUMBER(SEARCH("board-of",_xlpm.p)),ISNUMBER(SEARCH("director",_xlpm.p)),ISNUMBER(SEARCH("founder",_xlpm.p)),ISNUMBER(SEARCH("faculty",_xlpm.p)),ISNUMBER(SEARCH("faculties",_xlpm.p)),ISNUMBER(SEARCH("chancellor",_xlpm.p)),ISNUMBER(SEARCH("dean",_xlpm.p))),"Team / Leadership",OR(ISNUMBER(SEARCH("/about",_xlpm.p)),ISNUMBER(SEARCH("vision",_xlpm.p)),ISNUMBER(SEARCH("mission",_xlpm.p)),ISNUMBER(SEARCH("company",_xlpm.p)),ISNUMBER(SEARCH("who-we-are",_xlpm.p))),"About / Company",OR(ISNUMBER(SEARCH("partner",_xlpm.p)),ISNUMBER(SEARCH("association",_xlpm.p)),ISNUMBER(SEARCH("affiliate",_xlpm.p))),"Partners / Associations",OR(ISNUMBER(SEARCH("/faq",_xlpm.p)),ISNUMBER(SEARCH("frequently-asked",_xlpm.p))),"FAQ Pages",OR(ISNUMBER(SEARCH("download",_xlpm.p)),ISNUMBER(SEARCH("brochure",_xlpm.p))),"Downloads / Brochures",OR(ISNUMBER(SEARCH("documentation",_xlpm.p)),ISNUMBER(SEARCH("/docs",_xlpm.p)),ISNUMBER(SEARCH("help-center",_xlpm.p)),ISNUMBER(SEARCH("support",_xlpm.p)),ISNUMBER(SEARCH("knowledge-base",_xlpm.p))),"Documentation / Help Center",OR(ISNUMBER(SEARCH("webinar",_xlpm.p)),ISNUMBER(SEARCH("/events",_xlpm.p)),ISNUMBER(SEARCH("/event",_xlpm.p)),ISNUMBER(SEARCH("conference",_xlpm.p))),"Events / Webinars",OR(ISNUMBER(SEARCH("whitepaper",_xlpm.p)),ISNUMBER(SEARCH("white-paper",_xlpm.p)),ISNUMBER(SEARCH("ebook",_xlpm.p)),ISNUMBER(SEARCH("e-book",_xlpm.p)),ISNUMBER(SEARCH("/guides",_xlpm.p)),ISNUMBER(SEARCH("/guide",_xlpm.p)),ISNUMBER(SEARCH("report",_xlpm.p))),"Guides / eBooks / Whitepapers",OR(ISNUMBER(SEARCH("/blog",_xlpm.p)),ISNUMBER(SEARCH("/article",_xlpm.p)),ISNUMBER(SEARCH("/insights",_xlpm.p))),"Blog / Articles",OR(ISNUMBER(SEARCH("/news",_xlpm.p)),ISNUMBER(SEARCH("/press",_xlpm.p)),ISNUMBER(SEARCH("media-coverage",_xlpm.p)),ISNUMBER(SEARCH("press-release",_xlpm.p))),"News / Press / Media",OR(ISNUMBER(SEARCH("/resources",_xlpm.p)),ISNUMBER(SEARCH("/resource",_xlpm.p)),ISNUMBER(SEARCH("/library",_xlpm.p))),"Resources / Library",OR(ISNUMBER(SEARCH("course",_xlpm.p)),ISNUMBER(SEARCH("diploma",_xlpm.p)),ISNUMBER(SEARCH("certification",_xlpm.p)),ISNUMBER(SEARCH("certificate",_xlpm.p)),ISNUMBER(SEARCH("program",_xlpm.p)),ISNUMBER(SEARCH("training",_xlpm.p)),ISNUMBER(SEARCH("academy",_xlpm.p))),"Course / Program Pages",OR(ISNUMBER(SEARCH("/features",_xlpm.p)),ISNUMBER(SEARCH("/feature",_xlpm.p))),"Feature Pages",OR(ISNUMBER(SEARCH("/solutions",_xlpm.p)),ISNUMBER(SEARCH("/solution",_xlpm.p)),ISNUMBER(SEARCH("use-case",_xlpm.p))),"Solution Pages",OR(ISNUMBER(SEARCH("/industr",_xlpm.p)),ISNUMBER(SEARCH("/sector",_xlpm.p))),"Industry Pages",OR(ISNUMBER(SEARCH("/software",_xlpm.p)),ISNUMBER(SEARCH("/platform",_xlpm.p)),ISNUMBER(SEARCH("/saas",_xlpm.p)),ISNUMBER(SEARCH("/app",_xlpm.p))),"Software / SaaS",OR(ISNUMBER(SEARCH("/products",_xlpm.p)),ISNUMBER(SEARCH("/product",_xlpm.p))),"Product Pages",OR(ISNUMBER(SEARCH("/services",_xlpm.p)),ISNUMBER(SEARCH("/service",_xlpm.p))),"Service Pages",OR(ISNUMBER(SEARCH("/landing",_xlpm.p)),ISNUMBER(SEARCH("/lp/",_xlpm.p)),ISNUMBER(SEARCH("/campaign",_xlpm.p)),ISNUMBER(SEARCH("/offer",_xlpm.p)),ISNUMBER(SEARCH("/promo",_xlpm.p))),"Landing / Campaign Pages",OR(ISNUMBER(SEARCH("/category",_xlpm.p)),ISNUMBER(SEARCH("/collection",_xlpm.p)),ISNUMBER(SEARCH("/catalog",_xlpm.p)),ISNUMBER(SEARCH("/shop",_xlpm.p)),ISNUMBER(SEARCH("/store",_xlpm.p)),ISNUMBER(SEARCH("/directory",_xlpm.p)),ISNUMBER(SEARCH("/listing",_xlpm.p))),"Category / Listing Pages",OR(ISNUMBER(SEARCH("/locations",_xlpm.p)),ISNUMBER(SEARCH("/location",_xlpm.p)),ISNUMBER(SEARCH("near-me",_xlpm.p)),ISNUMBER(SEARCH("/city",_xlpm.p))),"Location Pages",OR(ISNUMBER(SEARCH("/login",_xlpm.p)),ISNUMBER(SEARCH("/signin",_xlpm.p)),ISNUMBER(SEARCH("/sign-in",_xlpm.p)),ISNUMBER(SEARCH("/account",_xlpm.p)),ISNUMBER(SEARCH("/register",_xlpm.p))),"Login / Account",OR(ISNUMBER(SEARCH("/search",_xlpm.p)),ISNUMBER(SEARCH("/archive",_xlpm.p)),ISNUMBER(SEARCH("/tag",_xlpm.p)),ISNUMBER(SEARCH("/author",_xlpm.p)),ISNUMBER(SEARCH("uncategorized",_xlpm.p))),"Search / Archive / Tags",TRUE,"Other"))))</f>
        <v>Homepage</v>
      </c>
    </row>
    <row r="4" spans="1:24" s="4" customFormat="1" ht="15.75" x14ac:dyDescent="0.25">
      <c r="A4" s="17" t="s">
        <v>6</v>
      </c>
      <c r="B4" s="18">
        <f>ROWS(_xlfn.ANCHORARRAY(W2))</f>
        <v>1</v>
      </c>
      <c r="C4" s="19"/>
      <c r="D4" s="17" t="s">
        <v>43</v>
      </c>
      <c r="E4" s="18">
        <f>COUNTA(_xlfn.UNIQUE(_xlfn.ANCHORARRAY(W2)))</f>
        <v>1</v>
      </c>
      <c r="F4" s="19"/>
      <c r="G4" s="19" t="s">
        <v>44</v>
      </c>
      <c r="H4" s="20">
        <f>MAX(B4-E4,0)</f>
        <v>0</v>
      </c>
      <c r="I4" s="19"/>
      <c r="J4" s="19" t="s">
        <v>7</v>
      </c>
      <c r="K4" s="20">
        <f>COUNTIF(B7:B39,"&gt;0")</f>
        <v>1</v>
      </c>
      <c r="L4" s="19"/>
      <c r="M4" s="19" t="s">
        <v>45</v>
      </c>
      <c r="N4" s="21">
        <f>IFERROR((B4-B39)/B4,0)</f>
        <v>1</v>
      </c>
    </row>
    <row r="6" spans="1:24" ht="16.5" thickBot="1" x14ac:dyDescent="0.3">
      <c r="A6" s="6" t="s">
        <v>1</v>
      </c>
      <c r="B6" s="7" t="s">
        <v>8</v>
      </c>
      <c r="C6" s="7" t="s">
        <v>9</v>
      </c>
    </row>
    <row r="7" spans="1:24" ht="15.75" x14ac:dyDescent="0.25">
      <c r="A7" s="8" t="s">
        <v>2</v>
      </c>
      <c r="B7" s="9">
        <f t="shared" ref="B7:B39" si="0">COUNTIF(_xlfn.ANCHORARRAY($X$2),A7)</f>
        <v>1</v>
      </c>
      <c r="C7" s="10">
        <f>IFERROR(B7/$B$4,0)</f>
        <v>1</v>
      </c>
    </row>
    <row r="8" spans="1:24" ht="15.75" x14ac:dyDescent="0.25">
      <c r="A8" s="11" t="s">
        <v>10</v>
      </c>
      <c r="B8" s="12">
        <f t="shared" si="0"/>
        <v>0</v>
      </c>
      <c r="C8" s="13">
        <f t="shared" ref="C8:C39" si="1">IFERROR(B8/$B$4,0)</f>
        <v>0</v>
      </c>
    </row>
    <row r="9" spans="1:24" ht="15.75" x14ac:dyDescent="0.25">
      <c r="A9" s="11" t="s">
        <v>11</v>
      </c>
      <c r="B9" s="12">
        <f t="shared" si="0"/>
        <v>0</v>
      </c>
      <c r="C9" s="13">
        <f t="shared" si="1"/>
        <v>0</v>
      </c>
    </row>
    <row r="10" spans="1:24" ht="15.75" x14ac:dyDescent="0.25">
      <c r="A10" s="11" t="s">
        <v>12</v>
      </c>
      <c r="B10" s="12">
        <f t="shared" si="0"/>
        <v>0</v>
      </c>
      <c r="C10" s="13">
        <f t="shared" si="1"/>
        <v>0</v>
      </c>
    </row>
    <row r="11" spans="1:24" ht="15.75" x14ac:dyDescent="0.25">
      <c r="A11" s="11" t="s">
        <v>13</v>
      </c>
      <c r="B11" s="12">
        <f t="shared" si="0"/>
        <v>0</v>
      </c>
      <c r="C11" s="13">
        <f t="shared" si="1"/>
        <v>0</v>
      </c>
    </row>
    <row r="12" spans="1:24" ht="15.75" x14ac:dyDescent="0.25">
      <c r="A12" s="11" t="s">
        <v>14</v>
      </c>
      <c r="B12" s="12">
        <f t="shared" si="0"/>
        <v>0</v>
      </c>
      <c r="C12" s="13">
        <f t="shared" si="1"/>
        <v>0</v>
      </c>
    </row>
    <row r="13" spans="1:24" ht="15.75" x14ac:dyDescent="0.25">
      <c r="A13" s="11" t="s">
        <v>15</v>
      </c>
      <c r="B13" s="12">
        <f t="shared" si="0"/>
        <v>0</v>
      </c>
      <c r="C13" s="13">
        <f t="shared" si="1"/>
        <v>0</v>
      </c>
    </row>
    <row r="14" spans="1:24" ht="15.75" x14ac:dyDescent="0.25">
      <c r="A14" s="11" t="s">
        <v>16</v>
      </c>
      <c r="B14" s="12">
        <f t="shared" si="0"/>
        <v>0</v>
      </c>
      <c r="C14" s="13">
        <f t="shared" si="1"/>
        <v>0</v>
      </c>
    </row>
    <row r="15" spans="1:24" ht="15.75" x14ac:dyDescent="0.25">
      <c r="A15" s="11" t="s">
        <v>17</v>
      </c>
      <c r="B15" s="12">
        <f t="shared" si="0"/>
        <v>0</v>
      </c>
      <c r="C15" s="13">
        <f t="shared" si="1"/>
        <v>0</v>
      </c>
    </row>
    <row r="16" spans="1:24" ht="15.75" x14ac:dyDescent="0.25">
      <c r="A16" s="11" t="s">
        <v>18</v>
      </c>
      <c r="B16" s="12">
        <f t="shared" si="0"/>
        <v>0</v>
      </c>
      <c r="C16" s="13">
        <f t="shared" si="1"/>
        <v>0</v>
      </c>
    </row>
    <row r="17" spans="1:3" ht="15.75" x14ac:dyDescent="0.25">
      <c r="A17" s="11" t="s">
        <v>19</v>
      </c>
      <c r="B17" s="12">
        <f t="shared" si="0"/>
        <v>0</v>
      </c>
      <c r="C17" s="13">
        <f t="shared" si="1"/>
        <v>0</v>
      </c>
    </row>
    <row r="18" spans="1:3" ht="15.75" x14ac:dyDescent="0.25">
      <c r="A18" s="11" t="s">
        <v>20</v>
      </c>
      <c r="B18" s="12">
        <f t="shared" si="0"/>
        <v>0</v>
      </c>
      <c r="C18" s="13">
        <f t="shared" si="1"/>
        <v>0</v>
      </c>
    </row>
    <row r="19" spans="1:3" ht="15.75" x14ac:dyDescent="0.25">
      <c r="A19" s="11" t="s">
        <v>21</v>
      </c>
      <c r="B19" s="12">
        <f t="shared" si="0"/>
        <v>0</v>
      </c>
      <c r="C19" s="13">
        <f t="shared" si="1"/>
        <v>0</v>
      </c>
    </row>
    <row r="20" spans="1:3" ht="15.75" x14ac:dyDescent="0.25">
      <c r="A20" s="11" t="s">
        <v>22</v>
      </c>
      <c r="B20" s="12">
        <f t="shared" si="0"/>
        <v>0</v>
      </c>
      <c r="C20" s="13">
        <f t="shared" si="1"/>
        <v>0</v>
      </c>
    </row>
    <row r="21" spans="1:3" ht="15.75" x14ac:dyDescent="0.25">
      <c r="A21" s="11" t="s">
        <v>23</v>
      </c>
      <c r="B21" s="12">
        <f t="shared" si="0"/>
        <v>0</v>
      </c>
      <c r="C21" s="13">
        <f t="shared" si="1"/>
        <v>0</v>
      </c>
    </row>
    <row r="22" spans="1:3" ht="15.75" x14ac:dyDescent="0.25">
      <c r="A22" s="11" t="s">
        <v>24</v>
      </c>
      <c r="B22" s="12">
        <f t="shared" si="0"/>
        <v>0</v>
      </c>
      <c r="C22" s="13">
        <f t="shared" si="1"/>
        <v>0</v>
      </c>
    </row>
    <row r="23" spans="1:3" ht="15.75" x14ac:dyDescent="0.25">
      <c r="A23" s="11" t="s">
        <v>25</v>
      </c>
      <c r="B23" s="12">
        <f t="shared" si="0"/>
        <v>0</v>
      </c>
      <c r="C23" s="13">
        <f t="shared" si="1"/>
        <v>0</v>
      </c>
    </row>
    <row r="24" spans="1:3" ht="15.75" x14ac:dyDescent="0.25">
      <c r="A24" s="11" t="s">
        <v>26</v>
      </c>
      <c r="B24" s="12">
        <f t="shared" si="0"/>
        <v>0</v>
      </c>
      <c r="C24" s="13">
        <f t="shared" si="1"/>
        <v>0</v>
      </c>
    </row>
    <row r="25" spans="1:3" ht="15.75" x14ac:dyDescent="0.25">
      <c r="A25" s="11" t="s">
        <v>27</v>
      </c>
      <c r="B25" s="12">
        <f t="shared" si="0"/>
        <v>0</v>
      </c>
      <c r="C25" s="13">
        <f t="shared" si="1"/>
        <v>0</v>
      </c>
    </row>
    <row r="26" spans="1:3" ht="15.75" x14ac:dyDescent="0.25">
      <c r="A26" s="11" t="s">
        <v>28</v>
      </c>
      <c r="B26" s="12">
        <f t="shared" si="0"/>
        <v>0</v>
      </c>
      <c r="C26" s="13">
        <f t="shared" si="1"/>
        <v>0</v>
      </c>
    </row>
    <row r="27" spans="1:3" ht="15.75" x14ac:dyDescent="0.25">
      <c r="A27" s="11" t="s">
        <v>29</v>
      </c>
      <c r="B27" s="12">
        <f t="shared" si="0"/>
        <v>0</v>
      </c>
      <c r="C27" s="13">
        <f t="shared" si="1"/>
        <v>0</v>
      </c>
    </row>
    <row r="28" spans="1:3" ht="15.75" x14ac:dyDescent="0.25">
      <c r="A28" s="11" t="s">
        <v>30</v>
      </c>
      <c r="B28" s="12">
        <f t="shared" si="0"/>
        <v>0</v>
      </c>
      <c r="C28" s="13">
        <f t="shared" si="1"/>
        <v>0</v>
      </c>
    </row>
    <row r="29" spans="1:3" ht="15.75" x14ac:dyDescent="0.25">
      <c r="A29" s="11" t="s">
        <v>31</v>
      </c>
      <c r="B29" s="12">
        <f t="shared" si="0"/>
        <v>0</v>
      </c>
      <c r="C29" s="13">
        <f t="shared" si="1"/>
        <v>0</v>
      </c>
    </row>
    <row r="30" spans="1:3" ht="15.75" x14ac:dyDescent="0.25">
      <c r="A30" s="11" t="s">
        <v>32</v>
      </c>
      <c r="B30" s="12">
        <f t="shared" si="0"/>
        <v>0</v>
      </c>
      <c r="C30" s="13">
        <f t="shared" si="1"/>
        <v>0</v>
      </c>
    </row>
    <row r="31" spans="1:3" ht="15.75" x14ac:dyDescent="0.25">
      <c r="A31" s="11" t="s">
        <v>33</v>
      </c>
      <c r="B31" s="12">
        <f t="shared" si="0"/>
        <v>0</v>
      </c>
      <c r="C31" s="13">
        <f t="shared" si="1"/>
        <v>0</v>
      </c>
    </row>
    <row r="32" spans="1:3" ht="15.75" x14ac:dyDescent="0.25">
      <c r="A32" s="11" t="s">
        <v>34</v>
      </c>
      <c r="B32" s="12">
        <f t="shared" si="0"/>
        <v>0</v>
      </c>
      <c r="C32" s="13">
        <f t="shared" si="1"/>
        <v>0</v>
      </c>
    </row>
    <row r="33" spans="1:3" ht="15.75" x14ac:dyDescent="0.25">
      <c r="A33" s="11" t="s">
        <v>35</v>
      </c>
      <c r="B33" s="12">
        <f t="shared" si="0"/>
        <v>0</v>
      </c>
      <c r="C33" s="13">
        <f t="shared" si="1"/>
        <v>0</v>
      </c>
    </row>
    <row r="34" spans="1:3" ht="15.75" x14ac:dyDescent="0.25">
      <c r="A34" s="11" t="s">
        <v>36</v>
      </c>
      <c r="B34" s="12">
        <f t="shared" si="0"/>
        <v>0</v>
      </c>
      <c r="C34" s="13">
        <f t="shared" si="1"/>
        <v>0</v>
      </c>
    </row>
    <row r="35" spans="1:3" ht="15.75" x14ac:dyDescent="0.25">
      <c r="A35" s="11" t="s">
        <v>37</v>
      </c>
      <c r="B35" s="12">
        <f t="shared" si="0"/>
        <v>0</v>
      </c>
      <c r="C35" s="13">
        <f t="shared" si="1"/>
        <v>0</v>
      </c>
    </row>
    <row r="36" spans="1:3" ht="15.75" x14ac:dyDescent="0.25">
      <c r="A36" s="11" t="s">
        <v>38</v>
      </c>
      <c r="B36" s="12">
        <f t="shared" si="0"/>
        <v>0</v>
      </c>
      <c r="C36" s="13">
        <f t="shared" si="1"/>
        <v>0</v>
      </c>
    </row>
    <row r="37" spans="1:3" ht="15.75" x14ac:dyDescent="0.25">
      <c r="A37" s="11" t="s">
        <v>39</v>
      </c>
      <c r="B37" s="12">
        <f t="shared" si="0"/>
        <v>0</v>
      </c>
      <c r="C37" s="13">
        <f t="shared" si="1"/>
        <v>0</v>
      </c>
    </row>
    <row r="38" spans="1:3" ht="15.75" x14ac:dyDescent="0.25">
      <c r="A38" s="11" t="s">
        <v>40</v>
      </c>
      <c r="B38" s="12">
        <f t="shared" si="0"/>
        <v>0</v>
      </c>
      <c r="C38" s="13">
        <f t="shared" si="1"/>
        <v>0</v>
      </c>
    </row>
    <row r="39" spans="1:3" ht="15.75" x14ac:dyDescent="0.25">
      <c r="A39" s="14" t="s">
        <v>3</v>
      </c>
      <c r="B39" s="15">
        <f t="shared" si="0"/>
        <v>0</v>
      </c>
      <c r="C39" s="16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Pages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</cp:lastModifiedBy>
  <dcterms:created xsi:type="dcterms:W3CDTF">2026-07-31T06:24:08Z</dcterms:created>
  <dcterms:modified xsi:type="dcterms:W3CDTF">2026-07-31T06:46:30Z</dcterms:modified>
</cp:coreProperties>
</file>